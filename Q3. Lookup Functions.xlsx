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d8fdb8a6c7a36b9/Desktop/ExcelR/Excel Assignment/"/>
    </mc:Choice>
  </mc:AlternateContent>
  <xr:revisionPtr revIDLastSave="81" documentId="11_C6A7C289657BD74270BD66EFBB06EF278C082729" xr6:coauthVersionLast="47" xr6:coauthVersionMax="47" xr10:uidLastSave="{1B15B70D-42A1-46A1-9458-3D6DCC26C5D0}"/>
  <bookViews>
    <workbookView xWindow="-120" yWindow="-120" windowWidth="29040" windowHeight="15720" xr2:uid="{00000000-000D-0000-FFFF-FFFF00000000}"/>
  </bookViews>
  <sheets>
    <sheet name="Index&amp;Match" sheetId="1" r:id="rId1"/>
    <sheet name="Master Emp sheet" sheetId="2" r:id="rId2"/>
    <sheet name="Source" sheetId="3" r:id="rId3"/>
  </sheets>
  <definedNames>
    <definedName name="Source">Source!$C$5:$F$40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N11" i="1" l="1"/>
  <c r="O11" i="1"/>
  <c r="O10" i="1"/>
  <c r="N10" i="1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7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21" i="3"/>
</calcChain>
</file>

<file path=xl/sharedStrings.xml><?xml version="1.0" encoding="utf-8"?>
<sst xmlns="http://schemas.openxmlformats.org/spreadsheetml/2006/main" count="481" uniqueCount="105">
  <si>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</si>
  <si>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</si>
  <si>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</si>
  <si>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</si>
  <si>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</si>
  <si>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</si>
  <si>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</si>
  <si>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</si>
  <si>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</si>
  <si>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</si>
  <si>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</si>
  <si>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</si>
  <si>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</si>
  <si>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</si>
  <si>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</si>
  <si>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</si>
  <si>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</si>
  <si>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</si>
  <si>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</si>
  <si>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</si>
  <si>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</si>
  <si>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</si>
  <si>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</si>
  <si>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</si>
  <si>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</si>
  <si>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</si>
  <si>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</si>
  <si>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</si>
  <si>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</si>
  <si>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</si>
  <si>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</si>
  <si>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</si>
  <si>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</si>
  <si>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</si>
  <si>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</si>
  <si>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</si>
  <si>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</si>
  <si>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</si>
  <si>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</si>
  <si>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</si>
  <si>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</si>
  <si>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</si>
  <si>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</si>
  <si>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</si>
  <si>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</si>
  <si>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</si>
  <si>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</si>
  <si>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</si>
  <si>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</si>
  <si>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</si>
  <si>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</si>
  <si>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</si>
  <si>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</si>
  <si>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</si>
  <si>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</si>
  <si>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</si>
  <si>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</si>
  <si>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</si>
  <si>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</si>
  <si>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</si>
  <si>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</si>
  <si>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</si>
  <si>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</si>
  <si>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</si>
  <si>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</si>
  <si>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</si>
  <si>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</si>
  <si>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</si>
  <si>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</si>
  <si>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</si>
  <si>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</si>
  <si>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</si>
  <si>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</si>
  <si>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</si>
  <si>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</si>
  <si>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</si>
  <si>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</si>
  <si>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</si>
  <si>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</si>
  <si>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</si>
  <si>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</si>
  <si>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</si>
  <si>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</si>
  <si>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</si>
  <si>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</si>
  <si>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</si>
  <si>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</si>
  <si>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</si>
  <si>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</si>
  <si>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</si>
  <si>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</si>
  <si>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</si>
  <si>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</si>
  <si>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</si>
  <si>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</si>
  <si>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</si>
  <si>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</si>
  <si>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</si>
  <si>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</si>
  <si>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</si>
  <si>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</si>
  <si>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</si>
  <si>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</si>
  <si>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</si>
  <si>
    <t>IFERROR(VLOOKUP(C6,Source!$C$6:$F$40,MATCH("Basic Salary",Source!$C$5:$F$5,0),0),"Retired")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</si>
</sst>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000"/>
  <sheetViews>
    <sheetView tabSelected="1" zoomScale="88" zoomScaleNormal="100" workbookViewId="0">
      <selection activeCell="N18" sqref="N18"/>
    </sheetView>
  </sheetViews>
  <sheetFormatPr defaultColWidth="14.42578125" defaultRowHeight="15" customHeight="1"/>
  <cols>
    <col min="1" max="5" width="8.7109375" customWidth="1"/>
    <col min="6" max="6" width="13.5703125" customWidth="1"/>
    <col min="7" max="10" width="8.7109375" customWidth="1"/>
    <col min="11" max="11" width="10.7109375" customWidth="1"/>
    <col min="12" max="12" width="8.7109375" customWidth="1"/>
    <col min="13" max="13" width="38" customWidth="1"/>
    <col min="14" max="14" width="13" customWidth="1"/>
    <col min="15" max="15" width="17.28515625" customWidth="1"/>
    <col min="16" max="26" width="8.7109375" customWidth="1"/>
  </cols>
  <sheetData>
    <row r="1" spans="3:15" ht="14.25" customHeight="1"/>
    <row r="2" spans="3:15" ht="14.25" customHeight="1"/>
    <row r="3" spans="3:15" ht="14.25" customHeight="1"/>
    <row r="4" spans="3:15" ht="14.25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5" ht="14.25" customHeight="1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5" ht="14.25" customHeight="1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5" ht="14.25" customHeight="1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5" ht="14.25" customHeight="1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0" t="s">
        <v>30</v>
      </c>
      <c r="N9" s="11"/>
      <c r="O9" s="8" t="s">
        <v>31</v>
      </c>
    </row>
    <row r="10" spans="3:15" ht="14.25" customHeight="1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8">
        <f>MAX(K5:K42)</f>
        <v>92000</v>
      </c>
      <c r="O10" t="str">
        <f>INDEX(D5:D42,MATCH(MAX(K5:K42),K5:K42,0))</f>
        <v>Dinesh</v>
      </c>
    </row>
    <row r="11" spans="3:15" ht="14.25" customHeight="1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6">
        <f>MIN(K5:K42)</f>
        <v>15000</v>
      </c>
      <c r="O11" t="str">
        <f>INDEX(D6:D43,MATCH(MIN(K6:K43),K6:K43,0))</f>
        <v>Satish</v>
      </c>
    </row>
    <row r="12" spans="3:15" ht="14.25" customHeight="1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5" ht="14.25" customHeight="1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</row>
    <row r="14" spans="3:15" ht="14.25" customHeight="1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5" ht="14.25" customHeight="1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5" ht="14.25" customHeight="1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1" ht="14.25" customHeight="1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</row>
    <row r="18" spans="3:11" ht="14.25" customHeight="1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</row>
    <row r="19" spans="3:11" ht="14.25" customHeight="1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1" ht="14.25" customHeight="1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1" ht="14.25" customHeight="1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1" ht="14.25" customHeight="1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1" ht="14.25" customHeight="1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1" ht="14.25" customHeight="1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1" ht="14.25" customHeight="1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1" ht="14.25" customHeight="1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1" ht="14.25" customHeight="1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1" ht="14.25" customHeight="1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1" ht="14.25" customHeight="1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1" ht="14.25" customHeight="1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1" ht="14.25" customHeight="1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1" ht="14.25" customHeight="1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/>
    <row r="44" spans="3:11" ht="14.25" customHeight="1"/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0"/>
  <sheetViews>
    <sheetView workbookViewId="0">
      <selection activeCell="M18" sqref="M18"/>
    </sheetView>
  </sheetViews>
  <sheetFormatPr defaultColWidth="14.42578125" defaultRowHeight="15" customHeight="1"/>
  <cols>
    <col min="1" max="3" width="8.7109375" customWidth="1"/>
    <col min="4" max="4" width="64.7109375" customWidth="1"/>
    <col min="5" max="5" width="8.7109375" customWidth="1"/>
    <col min="6" max="6" width="9.85546875" customWidth="1"/>
    <col min="7" max="8" width="8.7109375" customWidth="1"/>
    <col min="9" max="9" width="16" customWidth="1"/>
    <col min="10" max="10" width="23.85546875" customWidth="1"/>
    <col min="11" max="11" width="20.7109375" customWidth="1"/>
    <col min="12" max="26" width="8.7109375" customWidth="1"/>
  </cols>
  <sheetData>
    <row r="1" spans="3:11" ht="14.25" customHeight="1"/>
    <row r="2" spans="3:11" ht="14.25" customHeight="1">
      <c r="D2" s="9" t="s">
        <v>101</v>
      </c>
    </row>
    <row r="3" spans="3:11" ht="14.25" customHeight="1">
      <c r="D3" s="9" t="s">
        <v>102</v>
      </c>
    </row>
    <row r="4" spans="3:11" ht="14.25" customHeight="1">
      <c r="D4" s="9" t="s">
        <v>103</v>
      </c>
    </row>
    <row r="5" spans="3:11" ht="14.25" customHeight="1">
      <c r="D5" t="s">
        <v>104</v>
      </c>
    </row>
    <row r="6" spans="3:11" ht="14.25" customHeight="1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</row>
    <row r="7" spans="3:11" ht="14.25" customHeight="1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6" t="str">
        <f>IFERROR(VLOOKUP(C7,Source!$C$6:$F$40,MATCH("Region",Source!$C$5:$F$5,0),0),"Retired")</f>
        <v>North</v>
      </c>
      <c r="J7" s="6" t="str">
        <f>IFERROR(VLOOKUP(C7,Source!$C$6:$F$40,MATCH("Department",Source!$C$5:$F$5,0),0),"Retired")</f>
        <v>FLM</v>
      </c>
      <c r="K7" s="6">
        <f>IFERROR(VLOOKUP(C7,Source!$C$6:$F$40,MATCH("Basic Salary",Source!$C$5:$F$5,0),FALSE),"Retired")</f>
        <v>48000</v>
      </c>
    </row>
    <row r="8" spans="3:11" ht="14.25" customHeight="1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6" t="str">
        <f>IFERROR(VLOOKUP(C8,Source!$C$6:$F$40,MATCH("Region",Source!$C$5:$F$5,0),0),"Retired")</f>
        <v>North</v>
      </c>
      <c r="J8" s="6" t="str">
        <f>IFERROR(VLOOKUP(C8,Source!$C$6:$F$40,MATCH("Department",Source!$C$5:$F$5,0),0),"Retired")</f>
        <v>Digital Marketing</v>
      </c>
      <c r="K8" s="6">
        <f>IFERROR(VLOOKUP(C8,Source!$C$6:$F$40,MATCH("Basic Salary",Source!$C$5:$F$5,0),FALSE),"Retired")</f>
        <v>35000</v>
      </c>
    </row>
    <row r="9" spans="3:11" ht="14.25" customHeight="1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6" t="str">
        <f>IFERROR(VLOOKUP(C9,Source!$C$6:$F$40,MATCH("Region",Source!$C$5:$F$5,0),0),"Retired")</f>
        <v>North</v>
      </c>
      <c r="J9" s="6" t="str">
        <f>IFERROR(VLOOKUP(C9,Source!$C$6:$F$40,MATCH("Department",Source!$C$5:$F$5,0),0),"Retired")</f>
        <v>Digital Marketing</v>
      </c>
      <c r="K9" s="6">
        <f>IFERROR(VLOOKUP(C9,Source!$C$6:$F$40,MATCH("Basic Salary",Source!$C$5:$F$5,0),FALSE),"Retired")</f>
        <v>67000</v>
      </c>
    </row>
    <row r="10" spans="3:11" ht="14.25" customHeight="1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6" t="str">
        <f>IFERROR(VLOOKUP(C10,Source!$C$6:$F$40,MATCH("Region",Source!$C$5:$F$5,0),0),"Retired")</f>
        <v>South</v>
      </c>
      <c r="J10" s="6" t="str">
        <f>IFERROR(VLOOKUP(C10,Source!$C$6:$F$40,MATCH("Department",Source!$C$5:$F$5,0),0),"Retired")</f>
        <v>Inside Sales</v>
      </c>
      <c r="K10" s="6">
        <f>IFERROR(VLOOKUP(C10,Source!$C$6:$F$40,MATCH("Basic Salary",Source!$C$5:$F$5,0),FALSE),"Retired")</f>
        <v>87000</v>
      </c>
    </row>
    <row r="11" spans="3:11" ht="14.25" customHeight="1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6" t="str">
        <f>IFERROR(VLOOKUP(C11,Source!$C$6:$F$40,MATCH("Region",Source!$C$5:$F$5,0),0),"Retired")</f>
        <v>North</v>
      </c>
      <c r="J11" s="6" t="str">
        <f>IFERROR(VLOOKUP(C11,Source!$C$6:$F$40,MATCH("Department",Source!$C$5:$F$5,0),0),"Retired")</f>
        <v>Marketing</v>
      </c>
      <c r="K11" s="6">
        <f>IFERROR(VLOOKUP(C11,Source!$C$6:$F$40,MATCH("Basic Salary",Source!$C$5:$F$5,0),FALSE),"Retired")</f>
        <v>22000</v>
      </c>
    </row>
    <row r="12" spans="3:11" ht="14.25" customHeight="1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6" t="str">
        <f>IFERROR(VLOOKUP(C12,Source!$C$6:$F$40,MATCH("Region",Source!$C$5:$F$5,0),0),"Retired")</f>
        <v>North</v>
      </c>
      <c r="J12" s="6" t="str">
        <f>IFERROR(VLOOKUP(C12,Source!$C$6:$F$40,MATCH("Department",Source!$C$5:$F$5,0),0),"Retired")</f>
        <v>Director</v>
      </c>
      <c r="K12" s="6">
        <f>IFERROR(VLOOKUP(C12,Source!$C$6:$F$40,MATCH("Basic Salary",Source!$C$5:$F$5,0),FALSE),"Retired")</f>
        <v>91000</v>
      </c>
    </row>
    <row r="13" spans="3:11" ht="14.25" customHeight="1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6" t="str">
        <f>IFERROR(VLOOKUP(C13,Source!$C$6:$F$40,MATCH("Region",Source!$C$5:$F$5,0),0),"Retired")</f>
        <v>Mid West</v>
      </c>
      <c r="J13" s="6" t="str">
        <f>IFERROR(VLOOKUP(C13,Source!$C$6:$F$40,MATCH("Department",Source!$C$5:$F$5,0),0),"Retired")</f>
        <v>Learning &amp; Development</v>
      </c>
      <c r="K13" s="6">
        <f>IFERROR(VLOOKUP(C13,Source!$C$6:$F$40,MATCH("Basic Salary",Source!$C$5:$F$5,0),FALSE),"Retired")</f>
        <v>77000</v>
      </c>
    </row>
    <row r="14" spans="3:11" ht="14.25" customHeight="1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6" t="str">
        <f>IFERROR(VLOOKUP(C14,Source!$C$6:$F$40,MATCH("Region",Source!$C$5:$F$5,0),0),"Retired")</f>
        <v>Mid West</v>
      </c>
      <c r="J14" s="6" t="str">
        <f>IFERROR(VLOOKUP(C14,Source!$C$6:$F$40,MATCH("Department",Source!$C$5:$F$5,0),0),"Retired")</f>
        <v>Digital Marketing</v>
      </c>
      <c r="K14" s="6">
        <f>IFERROR(VLOOKUP(C14,Source!$C$6:$F$40,MATCH("Basic Salary",Source!$C$5:$F$5,0),FALSE),"Retired")</f>
        <v>45000</v>
      </c>
    </row>
    <row r="15" spans="3:11" ht="14.25" customHeight="1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6" t="str">
        <f>IFERROR(VLOOKUP(C15,Source!$C$6:$F$40,MATCH("Region",Source!$C$5:$F$5,0),0),"Retired")</f>
        <v>East</v>
      </c>
      <c r="J15" s="6" t="str">
        <f>IFERROR(VLOOKUP(C15,Source!$C$6:$F$40,MATCH("Department",Source!$C$5:$F$5,0),0),"Retired")</f>
        <v>Digital Marketing</v>
      </c>
      <c r="K15" s="6">
        <f>IFERROR(VLOOKUP(C15,Source!$C$6:$F$40,MATCH("Basic Salary",Source!$C$5:$F$5,0),FALSE),"Retired")</f>
        <v>92000</v>
      </c>
    </row>
    <row r="16" spans="3:11" ht="14.25" customHeight="1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6" t="str">
        <f>IFERROR(VLOOKUP(C16,Source!$C$6:$F$40,MATCH("Region",Source!$C$5:$F$5,0),0),"Retired")</f>
        <v>North</v>
      </c>
      <c r="J16" s="6" t="str">
        <f>IFERROR(VLOOKUP(C16,Source!$C$6:$F$40,MATCH("Department",Source!$C$5:$F$5,0),0),"Retired")</f>
        <v>Inside Sales</v>
      </c>
      <c r="K16" s="6">
        <f>IFERROR(VLOOKUP(C16,Source!$C$6:$F$40,MATCH("Basic Salary",Source!$C$5:$F$5,0),FALSE),"Retired")</f>
        <v>50000</v>
      </c>
    </row>
    <row r="17" spans="3:11" ht="14.25" customHeight="1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6" t="str">
        <f>IFERROR(VLOOKUP(C17,Source!$C$6:$F$40,MATCH("Region",Source!$C$5:$F$5,0),0),"Retired")</f>
        <v>South</v>
      </c>
      <c r="J17" s="6" t="str">
        <f>IFERROR(VLOOKUP(C17,Source!$C$6:$F$40,MATCH("Department",Source!$C$5:$F$5,0),0),"Retired")</f>
        <v>Learning &amp; Development</v>
      </c>
      <c r="K17" s="6">
        <f>IFERROR(VLOOKUP(C17,Source!$C$6:$F$40,MATCH("Basic Salary",Source!$C$5:$F$5,0),FALSE),"Retired")</f>
        <v>37000</v>
      </c>
    </row>
    <row r="18" spans="3:11" ht="14.25" customHeight="1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6" t="str">
        <f>IFERROR(VLOOKUP(C18,Source!$C$6:$F$40,MATCH("Region",Source!$C$5:$F$5,0),0),"Retired")</f>
        <v>East</v>
      </c>
      <c r="J18" s="6" t="str">
        <f>IFERROR(VLOOKUP(C18,Source!$C$6:$F$40,MATCH("Department",Source!$C$5:$F$5,0),0),"Retired")</f>
        <v>Learning &amp; Development</v>
      </c>
      <c r="K18" s="6">
        <f>IFERROR(VLOOKUP(C18,Source!$C$6:$F$40,MATCH("Basic Salary",Source!$C$5:$F$5,0),FALSE),"Retired")</f>
        <v>43000</v>
      </c>
    </row>
    <row r="19" spans="3:11" ht="14.25" customHeight="1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6" t="str">
        <f>IFERROR(VLOOKUP(C19,Source!$C$6:$F$40,MATCH("Region",Source!$C$5:$F$5,0),0),"Retired")</f>
        <v>East</v>
      </c>
      <c r="J19" s="6" t="str">
        <f>IFERROR(VLOOKUP(C19,Source!$C$6:$F$40,MATCH("Department",Source!$C$5:$F$5,0),0),"Retired")</f>
        <v>CEO</v>
      </c>
      <c r="K19" s="6">
        <f>IFERROR(VLOOKUP(C19,Source!$C$6:$F$40,MATCH("Basic Salary",Source!$C$5:$F$5,0),FALSE),"Retired")</f>
        <v>90000</v>
      </c>
    </row>
    <row r="20" spans="3:11" ht="14.25" customHeight="1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6" t="str">
        <f>IFERROR(VLOOKUP(C20,Source!$C$6:$F$40,MATCH("Region",Source!$C$5:$F$5,0),0),"Retired")</f>
        <v>Retired</v>
      </c>
      <c r="J20" s="6" t="str">
        <f>IFERROR(VLOOKUP(C20,Source!$C$6:$F$40,MATCH("Department",Source!$C$5:$F$5,0),0),"Retired")</f>
        <v>Retired</v>
      </c>
      <c r="K20" s="6" t="str">
        <f>IFERROR(VLOOKUP(C20,Source!$C$6:$F$40,MATCH("Basic Salary",Source!$C$5:$F$5,0),FALSE),"Retired")</f>
        <v>Retired</v>
      </c>
    </row>
    <row r="21" spans="3:11" ht="14.25" customHeight="1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6" t="str">
        <f>IFERROR(VLOOKUP(C21,Source!$C$6:$F$40,MATCH("Region",Source!$C$5:$F$5,0),0),"Retired")</f>
        <v>South</v>
      </c>
      <c r="J21" s="6" t="str">
        <f>IFERROR(VLOOKUP(C21,Source!$C$6:$F$40,MATCH("Department",Source!$C$5:$F$5,0),0),"Retired")</f>
        <v>Digital Marketing</v>
      </c>
      <c r="K21" s="6">
        <f>IFERROR(VLOOKUP(C21,Source!$C$6:$F$40,MATCH("Basic Salary",Source!$C$5:$F$5,0),FALSE),"Retired")</f>
        <v>82000</v>
      </c>
    </row>
    <row r="22" spans="3:11" ht="14.25" customHeight="1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6" t="str">
        <f>IFERROR(VLOOKUP(C22,Source!$C$6:$F$40,MATCH("Region",Source!$C$5:$F$5,0),0),"Retired")</f>
        <v>South</v>
      </c>
      <c r="J22" s="6" t="str">
        <f>IFERROR(VLOOKUP(C22,Source!$C$6:$F$40,MATCH("Department",Source!$C$5:$F$5,0),0),"Retired")</f>
        <v>Inside Sales</v>
      </c>
      <c r="K22" s="6">
        <f>IFERROR(VLOOKUP(C22,Source!$C$6:$F$40,MATCH("Basic Salary",Source!$C$5:$F$5,0),FALSE),"Retired")</f>
        <v>67000</v>
      </c>
    </row>
    <row r="23" spans="3:11" ht="14.25" customHeight="1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6" t="str">
        <f>IFERROR(VLOOKUP(C23,Source!$C$6:$F$40,MATCH("Region",Source!$C$5:$F$5,0),0),"Retired")</f>
        <v>South</v>
      </c>
      <c r="J23" s="6" t="str">
        <f>IFERROR(VLOOKUP(C23,Source!$C$6:$F$40,MATCH("Department",Source!$C$5:$F$5,0),0),"Retired")</f>
        <v>CCD</v>
      </c>
      <c r="K23" s="6">
        <f>IFERROR(VLOOKUP(C23,Source!$C$6:$F$40,MATCH("Basic Salary",Source!$C$5:$F$5,0),FALSE),"Retired")</f>
        <v>85000</v>
      </c>
    </row>
    <row r="24" spans="3:11" ht="14.25" customHeight="1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6" t="str">
        <f>IFERROR(VLOOKUP(C24,Source!$C$6:$F$40,MATCH("Region",Source!$C$5:$F$5,0),0),"Retired")</f>
        <v>South</v>
      </c>
      <c r="J24" s="6" t="str">
        <f>IFERROR(VLOOKUP(C24,Source!$C$6:$F$40,MATCH("Department",Source!$C$5:$F$5,0),0),"Retired")</f>
        <v>FLM</v>
      </c>
      <c r="K24" s="6">
        <f>IFERROR(VLOOKUP(C24,Source!$C$6:$F$40,MATCH("Basic Salary",Source!$C$5:$F$5,0),FALSE),"Retired")</f>
        <v>62000</v>
      </c>
    </row>
    <row r="25" spans="3:11" ht="14.25" customHeight="1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6" t="str">
        <f>IFERROR(VLOOKUP(C25,Source!$C$6:$F$40,MATCH("Region",Source!$C$5:$F$5,0),0),"Retired")</f>
        <v>Mid West</v>
      </c>
      <c r="J25" s="6" t="str">
        <f>IFERROR(VLOOKUP(C25,Source!$C$6:$F$40,MATCH("Department",Source!$C$5:$F$5,0),0),"Retired")</f>
        <v>Inside Sales</v>
      </c>
      <c r="K25" s="6">
        <f>IFERROR(VLOOKUP(C25,Source!$C$6:$F$40,MATCH("Basic Salary",Source!$C$5:$F$5,0),FALSE),"Retired")</f>
        <v>15000</v>
      </c>
    </row>
    <row r="26" spans="3:11" ht="14.25" customHeight="1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6" t="str">
        <f>IFERROR(VLOOKUP(C26,Source!$C$6:$F$40,MATCH("Region",Source!$C$5:$F$5,0),0),"Retired")</f>
        <v>South</v>
      </c>
      <c r="J26" s="6" t="str">
        <f>IFERROR(VLOOKUP(C26,Source!$C$6:$F$40,MATCH("Department",Source!$C$5:$F$5,0),0),"Retired")</f>
        <v>Operations</v>
      </c>
      <c r="K26" s="6">
        <f>IFERROR(VLOOKUP(C26,Source!$C$6:$F$40,MATCH("Basic Salary",Source!$C$5:$F$5,0),FALSE),"Retired")</f>
        <v>81000</v>
      </c>
    </row>
    <row r="27" spans="3:11" ht="14.25" customHeight="1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6" t="str">
        <f>IFERROR(VLOOKUP(C27,Source!$C$6:$F$40,MATCH("Region",Source!$C$5:$F$5,0),0),"Retired")</f>
        <v>South</v>
      </c>
      <c r="J27" s="6" t="str">
        <f>IFERROR(VLOOKUP(C27,Source!$C$6:$F$40,MATCH("Department",Source!$C$5:$F$5,0),0),"Retired")</f>
        <v>Finance</v>
      </c>
      <c r="K27" s="6">
        <f>IFERROR(VLOOKUP(C27,Source!$C$6:$F$40,MATCH("Basic Salary",Source!$C$5:$F$5,0),FALSE),"Retired")</f>
        <v>19000</v>
      </c>
    </row>
    <row r="28" spans="3:11" ht="14.25" customHeight="1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6" t="str">
        <f>IFERROR(VLOOKUP(C28,Source!$C$6:$F$40,MATCH("Region",Source!$C$5:$F$5,0),0),"Retired")</f>
        <v>East</v>
      </c>
      <c r="J28" s="6" t="str">
        <f>IFERROR(VLOOKUP(C28,Source!$C$6:$F$40,MATCH("Department",Source!$C$5:$F$5,0),0),"Retired")</f>
        <v>Inside Sales</v>
      </c>
      <c r="K28" s="6">
        <f>IFERROR(VLOOKUP(C28,Source!$C$6:$F$40,MATCH("Basic Salary",Source!$C$5:$F$5,0),FALSE),"Retired")</f>
        <v>75000</v>
      </c>
    </row>
    <row r="29" spans="3:11" ht="14.25" customHeight="1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6" t="str">
        <f>IFERROR(VLOOKUP(C29,Source!$C$6:$F$40,MATCH("Region",Source!$C$5:$F$5,0),0),"Retired")</f>
        <v>East</v>
      </c>
      <c r="J29" s="6" t="str">
        <f>IFERROR(VLOOKUP(C29,Source!$C$6:$F$40,MATCH("Department",Source!$C$5:$F$5,0),0),"Retired")</f>
        <v>Finance</v>
      </c>
      <c r="K29" s="6">
        <f>IFERROR(VLOOKUP(C29,Source!$C$6:$F$40,MATCH("Basic Salary",Source!$C$5:$F$5,0),FALSE),"Retired")</f>
        <v>49000</v>
      </c>
    </row>
    <row r="30" spans="3:11" ht="14.25" customHeight="1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6" t="str">
        <f>IFERROR(VLOOKUP(C30,Source!$C$6:$F$40,MATCH("Region",Source!$C$5:$F$5,0),0),"Retired")</f>
        <v>Retired</v>
      </c>
      <c r="J30" s="6" t="str">
        <f>IFERROR(VLOOKUP(C30,Source!$C$6:$F$40,MATCH("Department",Source!$C$5:$F$5,0),0),"Retired")</f>
        <v>Retired</v>
      </c>
      <c r="K30" s="6" t="str">
        <f>IFERROR(VLOOKUP(C30,Source!$C$6:$F$40,MATCH("Basic Salary",Source!$C$5:$F$5,0),FALSE),"Retired")</f>
        <v>Retired</v>
      </c>
    </row>
    <row r="31" spans="3:11" ht="14.25" customHeight="1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6" t="str">
        <f>IFERROR(VLOOKUP(C31,Source!$C$6:$F$40,MATCH("Region",Source!$C$5:$F$5,0),0),"Retired")</f>
        <v>Mid West</v>
      </c>
      <c r="J31" s="6" t="str">
        <f>IFERROR(VLOOKUP(C31,Source!$C$6:$F$40,MATCH("Department",Source!$C$5:$F$5,0),0),"Retired")</f>
        <v>Finance</v>
      </c>
      <c r="K31" s="6">
        <f>IFERROR(VLOOKUP(C31,Source!$C$6:$F$40,MATCH("Basic Salary",Source!$C$5:$F$5,0),FALSE),"Retired")</f>
        <v>83000</v>
      </c>
    </row>
    <row r="32" spans="3:11" ht="14.25" customHeight="1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6" t="str">
        <f>IFERROR(VLOOKUP(C32,Source!$C$6:$F$40,MATCH("Region",Source!$C$5:$F$5,0),0),"Retired")</f>
        <v>South</v>
      </c>
      <c r="J32" s="6" t="str">
        <f>IFERROR(VLOOKUP(C32,Source!$C$6:$F$40,MATCH("Department",Source!$C$5:$F$5,0),0),"Retired")</f>
        <v>Sales</v>
      </c>
      <c r="K32" s="6">
        <f>IFERROR(VLOOKUP(C32,Source!$C$6:$F$40,MATCH("Basic Salary",Source!$C$5:$F$5,0),FALSE),"Retired")</f>
        <v>53000</v>
      </c>
    </row>
    <row r="33" spans="3:11" ht="14.25" customHeight="1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6" t="str">
        <f>IFERROR(VLOOKUP(C33,Source!$C$6:$F$40,MATCH("Region",Source!$C$5:$F$5,0),0),"Retired")</f>
        <v>South</v>
      </c>
      <c r="J33" s="6" t="str">
        <f>IFERROR(VLOOKUP(C33,Source!$C$6:$F$40,MATCH("Department",Source!$C$5:$F$5,0),0),"Retired")</f>
        <v>Operations</v>
      </c>
      <c r="K33" s="6">
        <f>IFERROR(VLOOKUP(C33,Source!$C$6:$F$40,MATCH("Basic Salary",Source!$C$5:$F$5,0),FALSE),"Retired")</f>
        <v>65000</v>
      </c>
    </row>
    <row r="34" spans="3:11" ht="14.25" customHeight="1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6" t="str">
        <f>IFERROR(VLOOKUP(C34,Source!$C$6:$F$40,MATCH("Region",Source!$C$5:$F$5,0),0),"Retired")</f>
        <v>North</v>
      </c>
      <c r="J34" s="6" t="str">
        <f>IFERROR(VLOOKUP(C34,Source!$C$6:$F$40,MATCH("Department",Source!$C$5:$F$5,0),0),"Retired")</f>
        <v>Finance</v>
      </c>
      <c r="K34" s="6">
        <f>IFERROR(VLOOKUP(C34,Source!$C$6:$F$40,MATCH("Basic Salary",Source!$C$5:$F$5,0),FALSE),"Retired")</f>
        <v>85000</v>
      </c>
    </row>
    <row r="35" spans="3:11" ht="14.25" customHeight="1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6" t="str">
        <f>IFERROR(VLOOKUP(C35,Source!$C$6:$F$40,MATCH("Region",Source!$C$5:$F$5,0),0),"Retired")</f>
        <v>East</v>
      </c>
      <c r="J35" s="6" t="str">
        <f>IFERROR(VLOOKUP(C35,Source!$C$6:$F$40,MATCH("Department",Source!$C$5:$F$5,0),0),"Retired")</f>
        <v>Inside Sales</v>
      </c>
      <c r="K35" s="6">
        <f>IFERROR(VLOOKUP(C35,Source!$C$6:$F$40,MATCH("Basic Salary",Source!$C$5:$F$5,0),FALSE),"Retired")</f>
        <v>20000</v>
      </c>
    </row>
    <row r="36" spans="3:11" ht="14.25" customHeight="1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6" t="str">
        <f>IFERROR(VLOOKUP(C36,Source!$C$6:$F$40,MATCH("Region",Source!$C$5:$F$5,0),0),"Retired")</f>
        <v>East</v>
      </c>
      <c r="J36" s="6" t="str">
        <f>IFERROR(VLOOKUP(C36,Source!$C$6:$F$40,MATCH("Department",Source!$C$5:$F$5,0),0),"Retired")</f>
        <v>CCD</v>
      </c>
      <c r="K36" s="6">
        <f>IFERROR(VLOOKUP(C36,Source!$C$6:$F$40,MATCH("Basic Salary",Source!$C$5:$F$5,0),FALSE),"Retired")</f>
        <v>47000</v>
      </c>
    </row>
    <row r="37" spans="3:11" ht="14.25" customHeight="1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6" t="str">
        <f>IFERROR(VLOOKUP(C37,Source!$C$6:$F$40,MATCH("Region",Source!$C$5:$F$5,0),0),"Retired")</f>
        <v>South</v>
      </c>
      <c r="J37" s="6" t="str">
        <f>IFERROR(VLOOKUP(C37,Source!$C$6:$F$40,MATCH("Department",Source!$C$5:$F$5,0),0),"Retired")</f>
        <v>Director</v>
      </c>
      <c r="K37" s="6">
        <f>IFERROR(VLOOKUP(C37,Source!$C$6:$F$40,MATCH("Basic Salary",Source!$C$5:$F$5,0),FALSE),"Retired")</f>
        <v>87000</v>
      </c>
    </row>
    <row r="38" spans="3:11" ht="14.25" customHeight="1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6" t="str">
        <f>IFERROR(VLOOKUP(C38,Source!$C$6:$F$40,MATCH("Region",Source!$C$5:$F$5,0),0),"Retired")</f>
        <v>Retired</v>
      </c>
      <c r="J38" s="6" t="str">
        <f>IFERROR(VLOOKUP(C38,Source!$C$6:$F$40,MATCH("Department",Source!$C$5:$F$5,0),0),"Retired")</f>
        <v>Retired</v>
      </c>
      <c r="K38" s="6" t="str">
        <f>IFERROR(VLOOKUP(C38,Source!$C$6:$F$40,MATCH("Basic Salary",Source!$C$5:$F$5,0),FALSE),"Retired")</f>
        <v>Retired</v>
      </c>
    </row>
    <row r="39" spans="3:11" ht="14.25" customHeight="1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6" t="str">
        <f>IFERROR(VLOOKUP(C39,Source!$C$6:$F$40,MATCH("Region",Source!$C$5:$F$5,0),0),"Retired")</f>
        <v>East</v>
      </c>
      <c r="J39" s="6" t="str">
        <f>IFERROR(VLOOKUP(C39,Source!$C$6:$F$40,MATCH("Department",Source!$C$5:$F$5,0),0),"Retired")</f>
        <v>Marketing</v>
      </c>
      <c r="K39" s="6">
        <f>IFERROR(VLOOKUP(C39,Source!$C$6:$F$40,MATCH("Basic Salary",Source!$C$5:$F$5,0),FALSE),"Retired")</f>
        <v>27000</v>
      </c>
    </row>
    <row r="40" spans="3:11" ht="14.25" customHeight="1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6" t="str">
        <f>IFERROR(VLOOKUP(C40,Source!$C$6:$F$40,MATCH("Region",Source!$C$5:$F$5,0),0),"Retired")</f>
        <v>North</v>
      </c>
      <c r="J40" s="6" t="str">
        <f>IFERROR(VLOOKUP(C40,Source!$C$6:$F$40,MATCH("Department",Source!$C$5:$F$5,0),0),"Retired")</f>
        <v>Digital Marketing</v>
      </c>
      <c r="K40" s="6">
        <f>IFERROR(VLOOKUP(C40,Source!$C$6:$F$40,MATCH("Basic Salary",Source!$C$5:$F$5,0),FALSE),"Retired")</f>
        <v>81000</v>
      </c>
    </row>
    <row r="41" spans="3:11" ht="14.25" customHeight="1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6" t="str">
        <f>IFERROR(VLOOKUP(C41,Source!$C$6:$F$40,MATCH("Region",Source!$C$5:$F$5,0),0),"Retired")</f>
        <v>North</v>
      </c>
      <c r="J41" s="6" t="str">
        <f>IFERROR(VLOOKUP(C41,Source!$C$6:$F$40,MATCH("Department",Source!$C$5:$F$5,0),0),"Retired")</f>
        <v>Sales</v>
      </c>
      <c r="K41" s="6">
        <f>IFERROR(VLOOKUP(C41,Source!$C$6:$F$40,MATCH("Basic Salary",Source!$C$5:$F$5,0),FALSE),"Retired")</f>
        <v>52000</v>
      </c>
    </row>
    <row r="42" spans="3:11" ht="14.25" customHeight="1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6" t="str">
        <f>IFERROR(VLOOKUP(C42,Source!$C$6:$F$40,MATCH("Region",Source!$C$5:$F$5,0),0),"Retired")</f>
        <v>South</v>
      </c>
      <c r="J42" s="6" t="str">
        <f>IFERROR(VLOOKUP(C42,Source!$C$6:$F$40,MATCH("Department",Source!$C$5:$F$5,0),0),"Retired")</f>
        <v>Marketing</v>
      </c>
      <c r="K42" s="6">
        <f>IFERROR(VLOOKUP(C42,Source!$C$6:$F$40,MATCH("Basic Salary",Source!$C$5:$F$5,0),FALSE),"Retired")</f>
        <v>58000</v>
      </c>
    </row>
    <row r="43" spans="3:11" ht="14.25" customHeight="1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6" t="str">
        <f>IFERROR(VLOOKUP(C43,Source!$C$6:$F$40,MATCH("Region",Source!$C$5:$F$5,0),0),"Retired")</f>
        <v>Mid West</v>
      </c>
      <c r="J43" s="6" t="str">
        <f>IFERROR(VLOOKUP(C43,Source!$C$6:$F$40,MATCH("Department",Source!$C$5:$F$5,0),0),"Retired")</f>
        <v>Marketing</v>
      </c>
      <c r="K43" s="6">
        <f>IFERROR(VLOOKUP(C43,Source!$C$6:$F$40,MATCH("Basic Salary",Source!$C$5:$F$5,0),FALSE),"Retired")</f>
        <v>47000</v>
      </c>
    </row>
    <row r="44" spans="3:11" ht="14.25" customHeight="1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6" t="str">
        <f>IFERROR(VLOOKUP(C44,Source!$C$6:$F$40,MATCH("Region",Source!$C$5:$F$5,0),0),"Retired")</f>
        <v>North</v>
      </c>
      <c r="J44" s="6" t="str">
        <f>IFERROR(VLOOKUP(C44,Source!$C$6:$F$40,MATCH("Department",Source!$C$5:$F$5,0),0),"Retired")</f>
        <v>CCD</v>
      </c>
      <c r="K44" s="6">
        <f>IFERROR(VLOOKUP(C44,Source!$C$6:$F$40,MATCH("Basic Salary",Source!$C$5:$F$5,0),FALSE),"Retired")</f>
        <v>26000</v>
      </c>
    </row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I1000"/>
  <sheetViews>
    <sheetView topLeftCell="A4" zoomScale="90" workbookViewId="0">
      <selection activeCell="I22" sqref="I22"/>
    </sheetView>
  </sheetViews>
  <sheetFormatPr defaultColWidth="14.42578125" defaultRowHeight="15" customHeight="1"/>
  <cols>
    <col min="1" max="3" width="8.7109375" customWidth="1"/>
    <col min="4" max="4" width="21.28515625" customWidth="1"/>
    <col min="5" max="5" width="8.7109375" customWidth="1"/>
    <col min="6" max="6" width="11.42578125" customWidth="1"/>
    <col min="7" max="26" width="8.7109375" customWidth="1"/>
  </cols>
  <sheetData>
    <row r="1" spans="3:6" ht="14.25" customHeight="1"/>
    <row r="2" spans="3:6" ht="14.25" customHeight="1"/>
    <row r="3" spans="3:6" ht="14.25" customHeight="1"/>
    <row r="4" spans="3:6" ht="14.25" customHeight="1"/>
    <row r="5" spans="3:6" ht="14.25" customHeight="1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>
      <c r="C16" s="2">
        <v>150840</v>
      </c>
      <c r="D16" s="3" t="s">
        <v>25</v>
      </c>
      <c r="E16" s="3" t="s">
        <v>43</v>
      </c>
      <c r="F16" s="6">
        <v>20000</v>
      </c>
    </row>
    <row r="17" spans="3:9" ht="14.25" customHeight="1">
      <c r="C17" s="2">
        <v>150850</v>
      </c>
      <c r="D17" s="3" t="s">
        <v>54</v>
      </c>
      <c r="E17" s="3" t="s">
        <v>43</v>
      </c>
      <c r="F17" s="6">
        <v>47000</v>
      </c>
    </row>
    <row r="18" spans="3:9" ht="14.25" customHeight="1">
      <c r="C18" s="2">
        <v>150851</v>
      </c>
      <c r="D18" s="3" t="s">
        <v>25</v>
      </c>
      <c r="E18" s="3" t="s">
        <v>43</v>
      </c>
      <c r="F18" s="6">
        <v>75000</v>
      </c>
    </row>
    <row r="19" spans="3:9" ht="14.25" customHeight="1">
      <c r="C19" s="2">
        <v>150865</v>
      </c>
      <c r="D19" s="3" t="s">
        <v>51</v>
      </c>
      <c r="E19" s="3" t="s">
        <v>43</v>
      </c>
      <c r="F19" s="6">
        <v>90000</v>
      </c>
    </row>
    <row r="20" spans="3:9" ht="14.25" customHeight="1">
      <c r="C20" s="2">
        <v>150867</v>
      </c>
      <c r="D20" s="3" t="s">
        <v>70</v>
      </c>
      <c r="E20" s="3" t="s">
        <v>43</v>
      </c>
      <c r="F20" s="6">
        <v>49000</v>
      </c>
    </row>
    <row r="21" spans="3:9" ht="14.25" customHeight="1">
      <c r="C21" s="2">
        <v>150874</v>
      </c>
      <c r="D21" s="3" t="s">
        <v>29</v>
      </c>
      <c r="E21" s="3" t="s">
        <v>43</v>
      </c>
      <c r="F21" s="6">
        <v>27000</v>
      </c>
      <c r="I21">
        <f>COUNT(C6:C40)</f>
        <v>35</v>
      </c>
    </row>
    <row r="22" spans="3:9" ht="14.25" customHeight="1">
      <c r="C22" s="2">
        <v>150881</v>
      </c>
      <c r="D22" s="3" t="s">
        <v>18</v>
      </c>
      <c r="E22" s="3" t="s">
        <v>43</v>
      </c>
      <c r="F22" s="6">
        <v>92000</v>
      </c>
    </row>
    <row r="23" spans="3:9" ht="14.25" customHeight="1">
      <c r="C23" s="2">
        <v>150888</v>
      </c>
      <c r="D23" s="3" t="s">
        <v>37</v>
      </c>
      <c r="E23" s="3" t="s">
        <v>43</v>
      </c>
      <c r="F23" s="6">
        <v>43000</v>
      </c>
    </row>
    <row r="24" spans="3:9" ht="14.25" customHeight="1">
      <c r="C24" s="2">
        <v>150894</v>
      </c>
      <c r="D24" s="3" t="s">
        <v>25</v>
      </c>
      <c r="E24" s="3" t="s">
        <v>26</v>
      </c>
      <c r="F24" s="6">
        <v>67000</v>
      </c>
    </row>
    <row r="25" spans="3:9" ht="14.25" customHeight="1">
      <c r="C25" s="2">
        <v>150901</v>
      </c>
      <c r="D25" s="3" t="s">
        <v>81</v>
      </c>
      <c r="E25" s="3" t="s">
        <v>26</v>
      </c>
      <c r="F25" s="6">
        <v>53000</v>
      </c>
    </row>
    <row r="26" spans="3:9" ht="14.25" customHeight="1">
      <c r="C26" s="2">
        <v>150905</v>
      </c>
      <c r="D26" s="3" t="s">
        <v>13</v>
      </c>
      <c r="E26" s="3" t="s">
        <v>26</v>
      </c>
      <c r="F26" s="6">
        <v>62000</v>
      </c>
    </row>
    <row r="27" spans="3:9" ht="14.25" customHeight="1">
      <c r="C27" s="2">
        <v>150912</v>
      </c>
      <c r="D27" s="3" t="s">
        <v>67</v>
      </c>
      <c r="E27" s="3" t="s">
        <v>26</v>
      </c>
      <c r="F27" s="6">
        <v>81000</v>
      </c>
    </row>
    <row r="28" spans="3:9" ht="14.25" customHeight="1">
      <c r="C28" s="2">
        <v>150921</v>
      </c>
      <c r="D28" s="3" t="s">
        <v>70</v>
      </c>
      <c r="E28" s="3" t="s">
        <v>26</v>
      </c>
      <c r="F28" s="6">
        <v>19000</v>
      </c>
    </row>
    <row r="29" spans="3:9" ht="14.25" customHeight="1">
      <c r="C29" s="2">
        <v>150929</v>
      </c>
      <c r="D29" s="3" t="s">
        <v>29</v>
      </c>
      <c r="E29" s="3" t="s">
        <v>26</v>
      </c>
      <c r="F29" s="6">
        <v>58000</v>
      </c>
    </row>
    <row r="30" spans="3:9" ht="14.25" customHeight="1">
      <c r="C30" s="2">
        <v>150930</v>
      </c>
      <c r="D30" s="3" t="s">
        <v>18</v>
      </c>
      <c r="E30" s="3" t="s">
        <v>26</v>
      </c>
      <c r="F30" s="6">
        <v>82000</v>
      </c>
    </row>
    <row r="31" spans="3:9" ht="14.25" customHeight="1">
      <c r="C31" s="2">
        <v>150937</v>
      </c>
      <c r="D31" s="3" t="s">
        <v>37</v>
      </c>
      <c r="E31" s="3" t="s">
        <v>26</v>
      </c>
      <c r="F31" s="6">
        <v>37000</v>
      </c>
    </row>
    <row r="32" spans="3:9" ht="14.25" customHeight="1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/>
    <row r="42" spans="3:6" ht="14.25" customHeight="1"/>
    <row r="43" spans="3:6" ht="14.25" customHeight="1"/>
    <row r="44" spans="3:6" ht="14.25" customHeight="1"/>
    <row r="45" spans="3:6" ht="14.25" customHeight="1"/>
    <row r="46" spans="3:6" ht="14.25" customHeight="1"/>
    <row r="47" spans="3:6" ht="14.25" customHeight="1"/>
    <row r="48" spans="3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Index&amp;Match</vt:lpstr>
      <vt:lpstr>Master Emp sheet</vt:lpstr>
      <vt:lpstr>Source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MANOJGOUDA DODAGOUDAR</cp:lastModifiedBy>
  <dcterms:created xsi:type="dcterms:W3CDTF">2022-07-27T06:45:44Z</dcterms:created>
  <dcterms:modified xsi:type="dcterms:W3CDTF">2026-06-25T12:47:19Z</dcterms:modified>
</cp:coreProperties>
</file>